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68801c7faca23a/Desktop/정의진/서울여대/3-2/캡디1/"/>
    </mc:Choice>
  </mc:AlternateContent>
  <xr:revisionPtr revIDLastSave="8" documentId="8_{A16A9689-B3C6-F247-82C3-04CB85DFB0B9}" xr6:coauthVersionLast="47" xr6:coauthVersionMax="47" xr10:uidLastSave="{31201432-DC68-42F7-9DF3-7FE469D2A8E7}"/>
  <bookViews>
    <workbookView xWindow="-98" yWindow="-98" windowWidth="21795" windowHeight="12975" activeTab="4" xr2:uid="{82F8CFA0-CBF6-914B-AB56-751EFAC24AAE}"/>
  </bookViews>
  <sheets>
    <sheet name="청소년 인구수" sheetId="1" r:id="rId1"/>
    <sheet name="정신건강서비스 기관 수" sheetId="2" r:id="rId2"/>
    <sheet name="평균소득" sheetId="3" r:id="rId3"/>
    <sheet name="wee클래스" sheetId="4" r:id="rId4"/>
    <sheet name="교통편의성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4" l="1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N2" i="2"/>
  <c r="M2" i="2"/>
  <c r="L2" i="2"/>
  <c r="K2" i="2"/>
  <c r="J2" i="2"/>
  <c r="I2" i="2"/>
  <c r="H2" i="2"/>
  <c r="G2" i="2"/>
  <c r="F2" i="2"/>
  <c r="E2" i="2"/>
  <c r="D2" i="2"/>
  <c r="B2" i="2" s="1"/>
</calcChain>
</file>

<file path=xl/sharedStrings.xml><?xml version="1.0" encoding="utf-8"?>
<sst xmlns="http://schemas.openxmlformats.org/spreadsheetml/2006/main" count="504" uniqueCount="57">
  <si>
    <t>학령인구 (명)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</si>
  <si>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</si>
  <si>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</si>
  <si>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</si>
  <si>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</si>
  <si>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</si>
  <si>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</si>
  <si>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</si>
  <si>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</si>
  <si>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</si>
  <si>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</si>
  <si>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</si>
  <si>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</si>
  <si>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</si>
  <si>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</si>
  <si>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</si>
  <si>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</si>
  <si>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</si>
  <si>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</si>
  <si>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</si>
  <si>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</si>
  <si>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</si>
  <si>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</si>
  <si>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</si>
  <si>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</si>
  <si>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</si>
  <si>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</si>
  <si>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자치구별</t>
    <phoneticPr fontId="1" type="noConversion"/>
  </si>
  <si>
    <t>시군구</t>
  </si>
  <si>
    <t>계</t>
  </si>
  <si>
    <t>정신건강의학과</t>
  </si>
  <si>
    <t>그 외</t>
    <phoneticPr fontId="3" type="noConversion"/>
  </si>
  <si>
    <t>광역정신건강복지센터 수</t>
    <phoneticPr fontId="3" type="noConversion"/>
  </si>
  <si>
    <t>기초정신건강복지센터 수</t>
    <phoneticPr fontId="3" type="noConversion"/>
  </si>
  <si>
    <t>중독관리통합지원센터 수</t>
    <phoneticPr fontId="3" type="noConversion"/>
  </si>
  <si>
    <t>주간재활시설 수</t>
    <phoneticPr fontId="3" type="noConversion"/>
  </si>
  <si>
    <t>공동생활가정 수</t>
    <phoneticPr fontId="3" type="noConversion"/>
  </si>
  <si>
    <t>지역사회전환시설 수</t>
    <phoneticPr fontId="3" type="noConversion"/>
  </si>
  <si>
    <t>직업재활시설 수</t>
    <phoneticPr fontId="3" type="noConversion"/>
  </si>
  <si>
    <t>아동청소년정신건강지원시설 수</t>
    <phoneticPr fontId="3" type="noConversion"/>
  </si>
  <si>
    <t>중독자재활시설 수</t>
    <phoneticPr fontId="3" type="noConversion"/>
  </si>
  <si>
    <t>종합시설 수</t>
    <phoneticPr fontId="3" type="noConversion"/>
  </si>
  <si>
    <r>
      <t>행정동</t>
    </r>
    <r>
      <rPr>
        <b/>
        <sz val="10"/>
        <color rgb="FF000000"/>
        <rFont val="Helvetica Neue"/>
        <family val="2"/>
      </rPr>
      <t>_</t>
    </r>
    <r>
      <rPr>
        <b/>
        <sz val="10"/>
        <color rgb="FF000000"/>
        <rFont val="Apple SD Gothic Neo"/>
        <family val="2"/>
        <charset val="129"/>
      </rPr>
      <t>코드</t>
    </r>
  </si>
  <si>
    <r>
      <t>행정동</t>
    </r>
    <r>
      <rPr>
        <b/>
        <sz val="10"/>
        <color rgb="FF000000"/>
        <rFont val="Helvetica Neue"/>
        <family val="2"/>
      </rPr>
      <t>_</t>
    </r>
    <r>
      <rPr>
        <b/>
        <sz val="10"/>
        <color rgb="FF000000"/>
        <rFont val="Apple SD Gothic Neo"/>
        <family val="2"/>
        <charset val="129"/>
      </rPr>
      <t>코드</t>
    </r>
    <r>
      <rPr>
        <b/>
        <sz val="10"/>
        <color rgb="FF000000"/>
        <rFont val="Helvetica Neue"/>
        <family val="2"/>
      </rPr>
      <t>_</t>
    </r>
    <r>
      <rPr>
        <b/>
        <sz val="10"/>
        <color rgb="FF000000"/>
        <rFont val="Apple SD Gothic Neo"/>
        <family val="2"/>
        <charset val="129"/>
      </rPr>
      <t>명</t>
    </r>
  </si>
  <si>
    <r>
      <t>월</t>
    </r>
    <r>
      <rPr>
        <b/>
        <sz val="10"/>
        <color rgb="FF000000"/>
        <rFont val="Helvetica Neue"/>
        <family val="2"/>
      </rPr>
      <t>_</t>
    </r>
    <r>
      <rPr>
        <b/>
        <sz val="10"/>
        <color rgb="FF000000"/>
        <rFont val="Apple SD Gothic Neo"/>
        <family val="2"/>
        <charset val="129"/>
      </rPr>
      <t>평균</t>
    </r>
    <r>
      <rPr>
        <b/>
        <sz val="10"/>
        <color rgb="FF000000"/>
        <rFont val="Helvetica Neue"/>
        <family val="2"/>
      </rPr>
      <t>_</t>
    </r>
    <r>
      <rPr>
        <b/>
        <sz val="10"/>
        <color rgb="FF000000"/>
        <rFont val="Apple SD Gothic Neo"/>
        <family val="2"/>
        <charset val="129"/>
      </rPr>
      <t>소득</t>
    </r>
    <r>
      <rPr>
        <b/>
        <sz val="10"/>
        <color rgb="FF000000"/>
        <rFont val="Helvetica Neue"/>
        <family val="2"/>
      </rPr>
      <t>_</t>
    </r>
    <r>
      <rPr>
        <b/>
        <sz val="10"/>
        <color rgb="FF000000"/>
        <rFont val="Apple SD Gothic Neo"/>
        <family val="2"/>
        <charset val="129"/>
      </rPr>
      <t>금액</t>
    </r>
  </si>
  <si>
    <t>위클래스</t>
    <phoneticPr fontId="1" type="noConversion"/>
  </si>
  <si>
    <t>학교 수</t>
    <phoneticPr fontId="1" type="noConversion"/>
  </si>
  <si>
    <t>비율</t>
    <phoneticPr fontId="1" type="noConversion"/>
  </si>
  <si>
    <t>자치구</t>
    <phoneticPr fontId="1" type="noConversion"/>
  </si>
  <si>
    <t>교통편의성</t>
    <phoneticPr fontId="1" type="noConversion"/>
  </si>
  <si>
    <t>의료시설</t>
  </si>
  <si>
    <t>공공의료시설</t>
  </si>
  <si>
    <t>일평균(06-20시)</t>
  </si>
  <si>
    <t>대중교통/도보</t>
  </si>
  <si>
    <t>병·의원</t>
  </si>
  <si>
    <t>종합병원</t>
  </si>
  <si>
    <t>평균접근시간(분)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</si>
</sst>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Century Gothic"/>
      <family val="2"/>
    </font>
    <font>
      <sz val="8"/>
      <name val="맑은 고딕"/>
      <family val="3"/>
      <charset val="129"/>
      <scheme val="minor"/>
    </font>
    <font>
      <sz val="11"/>
      <name val="Century Gothic"/>
      <family val="2"/>
    </font>
    <font>
      <b/>
      <sz val="10"/>
      <color rgb="FF000000"/>
      <name val="Apple SD Gothic Neo"/>
      <family val="2"/>
      <charset val="129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Apple SD Gothic Neo"/>
      <family val="2"/>
      <charset val="129"/>
    </font>
    <font>
      <sz val="11"/>
      <color theme="1"/>
      <name val="Century Gothic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3" fontId="4" fillId="0" borderId="0" xfId="0" applyNumberFormat="1" applyFont="1" applyAlignment="1"/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9" fontId="0" fillId="0" borderId="0" xfId="0" applyNumberForma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1CF4-5C8C-C94D-B7B3-59CF0B9D7ED0}">
  <dimension ref="A1:B28"/>
  <sheetViews>
    <sheetView workbookViewId="0">
      <selection activeCell="E11" sqref="E11"/>
    </sheetView>
  </sheetViews>
  <sheetFormatPr defaultColWidth="10.6640625" defaultRowHeight="19.149999999999999"/>
  <sheetData>
    <row r="1" spans="1:2">
      <c r="A1" t="s">
        <v>27</v>
      </c>
      <c r="B1">
        <v>2024</v>
      </c>
    </row>
    <row r="2" spans="1:2">
      <c r="A2" t="s">
        <v>27</v>
      </c>
      <c r="B2" t="s">
        <v>0</v>
      </c>
    </row>
    <row r="3" spans="1:2">
      <c r="A3" t="s">
        <v>1</v>
      </c>
      <c r="B3">
        <v>1134733</v>
      </c>
    </row>
    <row r="4" spans="1:2">
      <c r="A4" t="s">
        <v>2</v>
      </c>
      <c r="B4">
        <v>14929</v>
      </c>
    </row>
    <row r="5" spans="1:2">
      <c r="A5" t="s">
        <v>3</v>
      </c>
      <c r="B5">
        <v>10077</v>
      </c>
    </row>
    <row r="6" spans="1:2">
      <c r="A6" t="s">
        <v>4</v>
      </c>
      <c r="B6">
        <v>20957</v>
      </c>
    </row>
    <row r="7" spans="1:2">
      <c r="A7" t="s">
        <v>5</v>
      </c>
      <c r="B7">
        <v>29451</v>
      </c>
    </row>
    <row r="8" spans="1:2">
      <c r="A8" t="s">
        <v>6</v>
      </c>
      <c r="B8">
        <v>36609</v>
      </c>
    </row>
    <row r="9" spans="1:2">
      <c r="A9" t="s">
        <v>7</v>
      </c>
      <c r="B9">
        <v>38098</v>
      </c>
    </row>
    <row r="10" spans="1:2">
      <c r="A10" t="s">
        <v>8</v>
      </c>
      <c r="B10">
        <v>37401</v>
      </c>
    </row>
    <row r="11" spans="1:2">
      <c r="A11" t="s">
        <v>9</v>
      </c>
      <c r="B11">
        <v>55689</v>
      </c>
    </row>
    <row r="12" spans="1:2">
      <c r="A12" t="s">
        <v>10</v>
      </c>
      <c r="B12">
        <v>29226</v>
      </c>
    </row>
    <row r="13" spans="1:2">
      <c r="A13" t="s">
        <v>11</v>
      </c>
      <c r="B13">
        <v>33636</v>
      </c>
    </row>
    <row r="14" spans="1:2">
      <c r="A14" t="s">
        <v>12</v>
      </c>
      <c r="B14">
        <v>69487</v>
      </c>
    </row>
    <row r="15" spans="1:2">
      <c r="A15" t="s">
        <v>13</v>
      </c>
      <c r="B15">
        <v>53446</v>
      </c>
    </row>
    <row r="16" spans="1:2">
      <c r="A16" t="s">
        <v>14</v>
      </c>
      <c r="B16">
        <v>36352</v>
      </c>
    </row>
    <row r="17" spans="1:2">
      <c r="A17" t="s">
        <v>15</v>
      </c>
      <c r="B17">
        <v>42525</v>
      </c>
    </row>
    <row r="18" spans="1:2">
      <c r="A18" t="s">
        <v>16</v>
      </c>
      <c r="B18">
        <v>68779</v>
      </c>
    </row>
    <row r="19" spans="1:2">
      <c r="A19" t="s">
        <v>17</v>
      </c>
      <c r="B19">
        <v>63759</v>
      </c>
    </row>
    <row r="20" spans="1:2">
      <c r="A20" t="s">
        <v>18</v>
      </c>
      <c r="B20">
        <v>43196</v>
      </c>
    </row>
    <row r="21" spans="1:2">
      <c r="A21" t="s">
        <v>19</v>
      </c>
      <c r="B21">
        <v>19729</v>
      </c>
    </row>
    <row r="22" spans="1:2">
      <c r="A22" t="s">
        <v>20</v>
      </c>
      <c r="B22">
        <v>37143</v>
      </c>
    </row>
    <row r="23" spans="1:2">
      <c r="A23" t="s">
        <v>21</v>
      </c>
      <c r="B23">
        <v>41728</v>
      </c>
    </row>
    <row r="24" spans="1:2">
      <c r="A24" t="s">
        <v>22</v>
      </c>
      <c r="B24">
        <v>40359</v>
      </c>
    </row>
    <row r="25" spans="1:2">
      <c r="A25" t="s">
        <v>23</v>
      </c>
      <c r="B25">
        <v>67173</v>
      </c>
    </row>
    <row r="26" spans="1:2">
      <c r="A26" t="s">
        <v>24</v>
      </c>
      <c r="B26">
        <v>92481</v>
      </c>
    </row>
    <row r="27" spans="1:2">
      <c r="A27" t="s">
        <v>25</v>
      </c>
      <c r="B27">
        <v>88755</v>
      </c>
    </row>
    <row r="28" spans="1:2">
      <c r="A28" t="s">
        <v>26</v>
      </c>
      <c r="B28">
        <v>63748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776E-FC76-B943-AD40-05586CFFA87F}">
  <dimension ref="A1:N27"/>
  <sheetViews>
    <sheetView workbookViewId="0">
      <selection activeCell="I8" sqref="I8"/>
    </sheetView>
  </sheetViews>
  <sheetFormatPr defaultColWidth="10.6640625" defaultRowHeight="19.149999999999999"/>
  <sheetData>
    <row r="1" spans="1:14">
      <c r="A1" s="1" t="s">
        <v>28</v>
      </c>
      <c r="B1" s="1" t="s">
        <v>29</v>
      </c>
      <c r="C1" s="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>
      <c r="A2" s="2" t="s">
        <v>29</v>
      </c>
      <c r="B2" s="3">
        <f>C2+D2</f>
        <v>734</v>
      </c>
      <c r="C2" s="3">
        <v>607</v>
      </c>
      <c r="D2">
        <f>SUM(D3:D27)</f>
        <v>127</v>
      </c>
      <c r="E2">
        <f t="shared" ref="E2:N2" si="0">SUM(E3:E27)</f>
        <v>0</v>
      </c>
      <c r="F2">
        <f t="shared" si="0"/>
        <v>25</v>
      </c>
      <c r="G2">
        <f t="shared" si="0"/>
        <v>3</v>
      </c>
      <c r="H2">
        <f t="shared" si="0"/>
        <v>25</v>
      </c>
      <c r="I2">
        <f t="shared" si="0"/>
        <v>51</v>
      </c>
      <c r="J2">
        <f t="shared" si="0"/>
        <v>4</v>
      </c>
      <c r="K2">
        <f t="shared" si="0"/>
        <v>7</v>
      </c>
      <c r="L2">
        <f t="shared" si="0"/>
        <v>8</v>
      </c>
      <c r="M2">
        <f t="shared" si="0"/>
        <v>3</v>
      </c>
      <c r="N2">
        <f t="shared" si="0"/>
        <v>1</v>
      </c>
    </row>
    <row r="3" spans="1:14">
      <c r="A3" s="2" t="s">
        <v>2</v>
      </c>
      <c r="B3" s="3">
        <f t="shared" ref="B3:B27" si="1">C3+D3</f>
        <v>26</v>
      </c>
      <c r="C3" s="3">
        <v>22</v>
      </c>
      <c r="D3">
        <v>4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</row>
    <row r="4" spans="1:14">
      <c r="A4" s="2" t="s">
        <v>3</v>
      </c>
      <c r="B4" s="3">
        <f t="shared" si="1"/>
        <v>18</v>
      </c>
      <c r="C4" s="3">
        <v>16</v>
      </c>
      <c r="D4">
        <v>2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</row>
    <row r="5" spans="1:14">
      <c r="A5" s="2" t="s">
        <v>4</v>
      </c>
      <c r="B5" s="3">
        <f t="shared" si="1"/>
        <v>10</v>
      </c>
      <c r="C5" s="3">
        <v>8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</row>
    <row r="6" spans="1:14">
      <c r="A6" s="2" t="s">
        <v>5</v>
      </c>
      <c r="B6" s="3">
        <f t="shared" si="1"/>
        <v>21</v>
      </c>
      <c r="C6" s="3">
        <v>18</v>
      </c>
      <c r="D6">
        <v>3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</row>
    <row r="7" spans="1:14">
      <c r="A7" s="2" t="s">
        <v>6</v>
      </c>
      <c r="B7" s="3">
        <f t="shared" si="1"/>
        <v>28</v>
      </c>
      <c r="C7" s="3">
        <v>22</v>
      </c>
      <c r="D7">
        <v>6</v>
      </c>
      <c r="E7">
        <v>0</v>
      </c>
      <c r="F7">
        <v>1</v>
      </c>
      <c r="G7">
        <v>0</v>
      </c>
      <c r="H7">
        <v>1</v>
      </c>
      <c r="I7">
        <v>3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s="2" t="s">
        <v>7</v>
      </c>
      <c r="B8" s="3">
        <f t="shared" si="1"/>
        <v>21</v>
      </c>
      <c r="C8" s="3">
        <v>16</v>
      </c>
      <c r="D8">
        <v>5</v>
      </c>
      <c r="E8">
        <v>0</v>
      </c>
      <c r="F8">
        <v>1</v>
      </c>
      <c r="G8">
        <v>0</v>
      </c>
      <c r="H8">
        <v>1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</row>
    <row r="9" spans="1:14">
      <c r="A9" s="2" t="s">
        <v>8</v>
      </c>
      <c r="B9" s="3">
        <f t="shared" si="1"/>
        <v>19</v>
      </c>
      <c r="C9" s="3">
        <v>12</v>
      </c>
      <c r="D9">
        <v>7</v>
      </c>
      <c r="E9">
        <v>0</v>
      </c>
      <c r="F9">
        <v>1</v>
      </c>
      <c r="G9">
        <v>0</v>
      </c>
      <c r="H9">
        <v>1</v>
      </c>
      <c r="I9">
        <v>4</v>
      </c>
      <c r="J9">
        <v>0</v>
      </c>
      <c r="K9">
        <v>0</v>
      </c>
      <c r="L9">
        <v>1</v>
      </c>
      <c r="M9">
        <v>0</v>
      </c>
      <c r="N9">
        <v>0</v>
      </c>
    </row>
    <row r="10" spans="1:14">
      <c r="A10" s="2" t="s">
        <v>9</v>
      </c>
      <c r="B10" s="3">
        <f t="shared" si="1"/>
        <v>18</v>
      </c>
      <c r="C10" s="3">
        <v>15</v>
      </c>
      <c r="D10">
        <v>3</v>
      </c>
      <c r="E10">
        <v>0</v>
      </c>
      <c r="F10">
        <v>1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2" t="s">
        <v>10</v>
      </c>
      <c r="B11" s="3">
        <f t="shared" si="1"/>
        <v>14</v>
      </c>
      <c r="C11" s="3">
        <v>10</v>
      </c>
      <c r="D11">
        <v>4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2" t="s">
        <v>11</v>
      </c>
      <c r="B12" s="3">
        <f t="shared" si="1"/>
        <v>16</v>
      </c>
      <c r="C12" s="3">
        <v>6</v>
      </c>
      <c r="D12">
        <v>10</v>
      </c>
      <c r="E12">
        <v>0</v>
      </c>
      <c r="F12">
        <v>1</v>
      </c>
      <c r="G12">
        <v>1</v>
      </c>
      <c r="H12">
        <v>1</v>
      </c>
      <c r="I12">
        <v>5</v>
      </c>
      <c r="J12">
        <v>1</v>
      </c>
      <c r="K12">
        <v>0</v>
      </c>
      <c r="L12">
        <v>0</v>
      </c>
      <c r="M12">
        <v>1</v>
      </c>
      <c r="N12">
        <v>0</v>
      </c>
    </row>
    <row r="13" spans="1:14">
      <c r="A13" s="2" t="s">
        <v>12</v>
      </c>
      <c r="B13" s="3">
        <f t="shared" si="1"/>
        <v>25</v>
      </c>
      <c r="C13" s="3">
        <v>19</v>
      </c>
      <c r="D13">
        <v>6</v>
      </c>
      <c r="E13">
        <v>0</v>
      </c>
      <c r="F13">
        <v>1</v>
      </c>
      <c r="G13">
        <v>1</v>
      </c>
      <c r="H13">
        <v>2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2" t="s">
        <v>13</v>
      </c>
      <c r="B14" s="3">
        <f t="shared" si="1"/>
        <v>19</v>
      </c>
      <c r="C14" s="3">
        <v>11</v>
      </c>
      <c r="D14">
        <v>8</v>
      </c>
      <c r="E14">
        <v>0</v>
      </c>
      <c r="F14">
        <v>1</v>
      </c>
      <c r="G14">
        <v>0</v>
      </c>
      <c r="H14">
        <v>1</v>
      </c>
      <c r="I14">
        <v>5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s="2" t="s">
        <v>14</v>
      </c>
      <c r="B15" s="3">
        <f t="shared" si="1"/>
        <v>16</v>
      </c>
      <c r="C15" s="3">
        <v>9</v>
      </c>
      <c r="D15">
        <v>7</v>
      </c>
      <c r="E15">
        <v>0</v>
      </c>
      <c r="F15">
        <v>1</v>
      </c>
      <c r="G15">
        <v>0</v>
      </c>
      <c r="H15">
        <v>1</v>
      </c>
      <c r="I15">
        <v>4</v>
      </c>
      <c r="J15">
        <v>0</v>
      </c>
      <c r="K15">
        <v>0</v>
      </c>
      <c r="L15">
        <v>1</v>
      </c>
      <c r="M15">
        <v>0</v>
      </c>
      <c r="N15">
        <v>0</v>
      </c>
    </row>
    <row r="16" spans="1:14">
      <c r="A16" s="2" t="s">
        <v>15</v>
      </c>
      <c r="B16" s="3">
        <f t="shared" si="1"/>
        <v>42</v>
      </c>
      <c r="C16" s="3">
        <v>37</v>
      </c>
      <c r="D16">
        <v>5</v>
      </c>
      <c r="E16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2</v>
      </c>
      <c r="N16">
        <v>0</v>
      </c>
    </row>
    <row r="17" spans="1:14">
      <c r="A17" s="2" t="s">
        <v>16</v>
      </c>
      <c r="B17" s="3">
        <f t="shared" si="1"/>
        <v>21</v>
      </c>
      <c r="C17" s="3">
        <v>13</v>
      </c>
      <c r="D17">
        <v>8</v>
      </c>
      <c r="E17">
        <v>0</v>
      </c>
      <c r="F17">
        <v>1</v>
      </c>
      <c r="G17">
        <v>0</v>
      </c>
      <c r="H17">
        <v>1</v>
      </c>
      <c r="I17">
        <v>6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2" t="s">
        <v>17</v>
      </c>
      <c r="B18" s="3">
        <f t="shared" si="1"/>
        <v>32</v>
      </c>
      <c r="C18" s="3">
        <v>24</v>
      </c>
      <c r="D18">
        <v>8</v>
      </c>
      <c r="E18">
        <v>0</v>
      </c>
      <c r="F18">
        <v>1</v>
      </c>
      <c r="G18">
        <v>0</v>
      </c>
      <c r="H18">
        <v>1</v>
      </c>
      <c r="I18">
        <v>4</v>
      </c>
      <c r="J18">
        <v>0</v>
      </c>
      <c r="K18">
        <v>1</v>
      </c>
      <c r="L18">
        <v>0</v>
      </c>
      <c r="M18">
        <v>0</v>
      </c>
      <c r="N18">
        <v>1</v>
      </c>
    </row>
    <row r="19" spans="1:14">
      <c r="A19" s="2" t="s">
        <v>18</v>
      </c>
      <c r="B19" s="3">
        <f t="shared" si="1"/>
        <v>19</v>
      </c>
      <c r="C19" s="3">
        <v>11</v>
      </c>
      <c r="D19">
        <v>8</v>
      </c>
      <c r="E19">
        <v>0</v>
      </c>
      <c r="F19">
        <v>1</v>
      </c>
      <c r="G19">
        <v>0</v>
      </c>
      <c r="H19">
        <v>1</v>
      </c>
      <c r="I19">
        <v>5</v>
      </c>
      <c r="J19">
        <v>0</v>
      </c>
      <c r="K19">
        <v>1</v>
      </c>
      <c r="L19">
        <v>0</v>
      </c>
      <c r="M19">
        <v>0</v>
      </c>
      <c r="N19">
        <v>0</v>
      </c>
    </row>
    <row r="20" spans="1:14">
      <c r="A20" s="2" t="s">
        <v>19</v>
      </c>
      <c r="B20" s="3">
        <f t="shared" si="1"/>
        <v>13</v>
      </c>
      <c r="C20" s="3">
        <v>10</v>
      </c>
      <c r="D20">
        <v>3</v>
      </c>
      <c r="E20">
        <v>0</v>
      </c>
      <c r="F20">
        <v>1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2" t="s">
        <v>20</v>
      </c>
      <c r="B21" s="3">
        <f t="shared" si="1"/>
        <v>33</v>
      </c>
      <c r="C21" s="3">
        <v>28</v>
      </c>
      <c r="D21">
        <v>5</v>
      </c>
      <c r="E21">
        <v>0</v>
      </c>
      <c r="F21">
        <v>1</v>
      </c>
      <c r="G21">
        <v>0</v>
      </c>
      <c r="H21">
        <v>2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</row>
    <row r="22" spans="1:14">
      <c r="A22" s="2" t="s">
        <v>21</v>
      </c>
      <c r="B22" s="3">
        <f t="shared" si="1"/>
        <v>24</v>
      </c>
      <c r="C22" s="3">
        <v>22</v>
      </c>
      <c r="D22">
        <v>2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14">
      <c r="A23" s="2" t="s">
        <v>22</v>
      </c>
      <c r="B23" s="3">
        <f t="shared" si="1"/>
        <v>30</v>
      </c>
      <c r="C23" s="3">
        <v>24</v>
      </c>
      <c r="D23">
        <v>6</v>
      </c>
      <c r="E23">
        <v>0</v>
      </c>
      <c r="F23">
        <v>1</v>
      </c>
      <c r="G23">
        <v>0</v>
      </c>
      <c r="H23">
        <v>2</v>
      </c>
      <c r="I23">
        <v>3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2" t="s">
        <v>23</v>
      </c>
      <c r="B24" s="3">
        <f t="shared" si="1"/>
        <v>66</v>
      </c>
      <c r="C24" s="3">
        <v>62</v>
      </c>
      <c r="D24">
        <v>4</v>
      </c>
      <c r="E24">
        <v>0</v>
      </c>
      <c r="F24">
        <v>1</v>
      </c>
      <c r="G24">
        <v>0</v>
      </c>
      <c r="H24">
        <v>2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</row>
    <row r="25" spans="1:14">
      <c r="A25" s="2" t="s">
        <v>24</v>
      </c>
      <c r="B25" s="3">
        <f t="shared" si="1"/>
        <v>122</v>
      </c>
      <c r="C25" s="3">
        <v>120</v>
      </c>
      <c r="D25">
        <v>2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2" t="s">
        <v>25</v>
      </c>
      <c r="B26" s="3">
        <f t="shared" si="1"/>
        <v>54</v>
      </c>
      <c r="C26" s="3">
        <v>50</v>
      </c>
      <c r="D26">
        <v>4</v>
      </c>
      <c r="E26">
        <v>0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</row>
    <row r="27" spans="1:14">
      <c r="A27" s="2" t="s">
        <v>26</v>
      </c>
      <c r="B27" s="3">
        <f t="shared" si="1"/>
        <v>27</v>
      </c>
      <c r="C27" s="3">
        <v>22</v>
      </c>
      <c r="D27">
        <v>5</v>
      </c>
      <c r="E27">
        <v>0</v>
      </c>
      <c r="F27">
        <v>1</v>
      </c>
      <c r="G27">
        <v>0</v>
      </c>
      <c r="H27">
        <v>1</v>
      </c>
      <c r="I27">
        <v>2</v>
      </c>
      <c r="J27">
        <v>1</v>
      </c>
      <c r="K27">
        <v>0</v>
      </c>
      <c r="L27">
        <v>0</v>
      </c>
      <c r="M27">
        <v>0</v>
      </c>
      <c r="N27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245E-465C-A74F-966E-BEF71AE20EA9}">
  <dimension ref="A1:C26"/>
  <sheetViews>
    <sheetView workbookViewId="0">
      <selection activeCell="F7" sqref="F7"/>
    </sheetView>
  </sheetViews>
  <sheetFormatPr defaultColWidth="10.6640625" defaultRowHeight="19.149999999999999"/>
  <cols>
    <col min="1" max="1" width="8.5546875" bestFit="1" customWidth="1"/>
    <col min="2" max="2" width="10.5546875" bestFit="1" customWidth="1"/>
    <col min="3" max="3" width="12.44140625" bestFit="1" customWidth="1"/>
  </cols>
  <sheetData>
    <row r="1" spans="1:3">
      <c r="A1" s="4" t="s">
        <v>42</v>
      </c>
      <c r="B1" s="4" t="s">
        <v>43</v>
      </c>
      <c r="C1" s="4" t="s">
        <v>44</v>
      </c>
    </row>
    <row r="2" spans="1:3">
      <c r="A2" s="5">
        <v>11110</v>
      </c>
      <c r="B2" s="6" t="s">
        <v>2</v>
      </c>
      <c r="C2" s="5">
        <v>3725859</v>
      </c>
    </row>
    <row r="3" spans="1:3">
      <c r="A3" s="5">
        <v>11140</v>
      </c>
      <c r="B3" s="6" t="s">
        <v>3</v>
      </c>
      <c r="C3" s="5">
        <v>3513603</v>
      </c>
    </row>
    <row r="4" spans="1:3">
      <c r="A4" s="5">
        <v>11170</v>
      </c>
      <c r="B4" s="6" t="s">
        <v>4</v>
      </c>
      <c r="C4" s="5">
        <v>3971498</v>
      </c>
    </row>
    <row r="5" spans="1:3">
      <c r="A5" s="5">
        <v>11200</v>
      </c>
      <c r="B5" s="6" t="s">
        <v>5</v>
      </c>
      <c r="C5" s="5">
        <v>3734499</v>
      </c>
    </row>
    <row r="6" spans="1:3">
      <c r="A6" s="5">
        <v>11215</v>
      </c>
      <c r="B6" s="6" t="s">
        <v>6</v>
      </c>
      <c r="C6" s="5">
        <v>3192971</v>
      </c>
    </row>
    <row r="7" spans="1:3">
      <c r="A7" s="5">
        <v>11230</v>
      </c>
      <c r="B7" s="6" t="s">
        <v>7</v>
      </c>
      <c r="C7" s="5">
        <v>3030256</v>
      </c>
    </row>
    <row r="8" spans="1:3">
      <c r="A8" s="5">
        <v>11260</v>
      </c>
      <c r="B8" s="6" t="s">
        <v>8</v>
      </c>
      <c r="C8" s="5">
        <v>2598785</v>
      </c>
    </row>
    <row r="9" spans="1:3">
      <c r="A9" s="5">
        <v>11290</v>
      </c>
      <c r="B9" s="6" t="s">
        <v>9</v>
      </c>
      <c r="C9" s="5">
        <v>3281773</v>
      </c>
    </row>
    <row r="10" spans="1:3">
      <c r="A10" s="5">
        <v>11305</v>
      </c>
      <c r="B10" s="6" t="s">
        <v>10</v>
      </c>
      <c r="C10" s="5">
        <v>2547460</v>
      </c>
    </row>
    <row r="11" spans="1:3">
      <c r="A11" s="5">
        <v>11320</v>
      </c>
      <c r="B11" s="6" t="s">
        <v>11</v>
      </c>
      <c r="C11" s="5">
        <v>2785111</v>
      </c>
    </row>
    <row r="12" spans="1:3">
      <c r="A12" s="5">
        <v>11350</v>
      </c>
      <c r="B12" s="6" t="s">
        <v>12</v>
      </c>
      <c r="C12" s="5">
        <v>3195375</v>
      </c>
    </row>
    <row r="13" spans="1:3">
      <c r="A13" s="5">
        <v>11380</v>
      </c>
      <c r="B13" s="6" t="s">
        <v>13</v>
      </c>
      <c r="C13" s="5">
        <v>2912739</v>
      </c>
    </row>
    <row r="14" spans="1:3">
      <c r="A14" s="5">
        <v>11410</v>
      </c>
      <c r="B14" s="6" t="s">
        <v>14</v>
      </c>
      <c r="C14" s="5">
        <v>3417706</v>
      </c>
    </row>
    <row r="15" spans="1:3">
      <c r="A15" s="5">
        <v>11440</v>
      </c>
      <c r="B15" s="6" t="s">
        <v>15</v>
      </c>
      <c r="C15" s="5">
        <v>3832436</v>
      </c>
    </row>
    <row r="16" spans="1:3">
      <c r="A16" s="5">
        <v>11470</v>
      </c>
      <c r="B16" s="6" t="s">
        <v>16</v>
      </c>
      <c r="C16" s="5">
        <v>3796034</v>
      </c>
    </row>
    <row r="17" spans="1:3">
      <c r="A17" s="5">
        <v>11500</v>
      </c>
      <c r="B17" s="6" t="s">
        <v>17</v>
      </c>
      <c r="C17" s="5">
        <v>3160623</v>
      </c>
    </row>
    <row r="18" spans="1:3">
      <c r="A18" s="5">
        <v>11530</v>
      </c>
      <c r="B18" s="6" t="s">
        <v>18</v>
      </c>
      <c r="C18" s="5">
        <v>2994059</v>
      </c>
    </row>
    <row r="19" spans="1:3">
      <c r="A19" s="5">
        <v>11545</v>
      </c>
      <c r="B19" s="6" t="s">
        <v>19</v>
      </c>
      <c r="C19" s="5">
        <v>2632285</v>
      </c>
    </row>
    <row r="20" spans="1:3">
      <c r="A20" s="5">
        <v>11560</v>
      </c>
      <c r="B20" s="6" t="s">
        <v>20</v>
      </c>
      <c r="C20" s="5">
        <v>3604887</v>
      </c>
    </row>
    <row r="21" spans="1:3">
      <c r="A21" s="5">
        <v>11590</v>
      </c>
      <c r="B21" s="6" t="s">
        <v>21</v>
      </c>
      <c r="C21" s="5">
        <v>3454170</v>
      </c>
    </row>
    <row r="22" spans="1:3">
      <c r="A22" s="5">
        <v>11620</v>
      </c>
      <c r="B22" s="6" t="s">
        <v>22</v>
      </c>
      <c r="C22" s="5">
        <v>2771927</v>
      </c>
    </row>
    <row r="23" spans="1:3">
      <c r="A23" s="5">
        <v>11650</v>
      </c>
      <c r="B23" s="6" t="s">
        <v>23</v>
      </c>
      <c r="C23" s="5">
        <v>4912401</v>
      </c>
    </row>
    <row r="24" spans="1:3">
      <c r="A24" s="5">
        <v>11680</v>
      </c>
      <c r="B24" s="6" t="s">
        <v>24</v>
      </c>
      <c r="C24" s="5">
        <v>4943841</v>
      </c>
    </row>
    <row r="25" spans="1:3">
      <c r="A25" s="5">
        <v>11710</v>
      </c>
      <c r="B25" s="6" t="s">
        <v>25</v>
      </c>
      <c r="C25" s="5">
        <v>3995905</v>
      </c>
    </row>
    <row r="26" spans="1:3">
      <c r="A26" s="5">
        <v>11740</v>
      </c>
      <c r="B26" s="6" t="s">
        <v>26</v>
      </c>
      <c r="C26" s="5">
        <v>3292857</v>
      </c>
    </row>
  </sheetData>
  <sortState xmlns:xlrd2="http://schemas.microsoft.com/office/spreadsheetml/2017/richdata2" ref="A2:C26">
    <sortCondition ref="A2:A2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2B0F-65D8-CD4B-B855-670B5A23ACA6}">
  <dimension ref="A1:D26"/>
  <sheetViews>
    <sheetView workbookViewId="0">
      <selection activeCell="A2" sqref="A2:A26"/>
    </sheetView>
  </sheetViews>
  <sheetFormatPr defaultColWidth="10.6640625" defaultRowHeight="19.149999999999999"/>
  <sheetData>
    <row r="1" spans="1:4">
      <c r="A1" t="s">
        <v>48</v>
      </c>
      <c r="B1" t="s">
        <v>45</v>
      </c>
      <c r="C1" t="s">
        <v>46</v>
      </c>
      <c r="D1" s="7" t="s">
        <v>47</v>
      </c>
    </row>
    <row r="2" spans="1:4">
      <c r="A2" s="8" t="s">
        <v>2</v>
      </c>
      <c r="B2">
        <v>30</v>
      </c>
      <c r="C2">
        <v>44</v>
      </c>
      <c r="D2" s="7">
        <f>B2/C2</f>
        <v>0.68181818181818177</v>
      </c>
    </row>
    <row r="3" spans="1:4">
      <c r="A3" s="8" t="s">
        <v>3</v>
      </c>
      <c r="B3">
        <v>20</v>
      </c>
      <c r="C3">
        <v>33</v>
      </c>
      <c r="D3" s="7">
        <f t="shared" ref="D3:D26" si="0">B3/C3</f>
        <v>0.60606060606060608</v>
      </c>
    </row>
    <row r="4" spans="1:4">
      <c r="A4" s="8" t="s">
        <v>4</v>
      </c>
      <c r="B4">
        <v>27</v>
      </c>
      <c r="C4">
        <v>34</v>
      </c>
      <c r="D4" s="7">
        <f t="shared" si="0"/>
        <v>0.79411764705882348</v>
      </c>
    </row>
    <row r="5" spans="1:4">
      <c r="A5" s="8" t="s">
        <v>5</v>
      </c>
      <c r="B5">
        <v>30</v>
      </c>
      <c r="C5">
        <v>40</v>
      </c>
      <c r="D5" s="7">
        <f t="shared" si="0"/>
        <v>0.75</v>
      </c>
    </row>
    <row r="6" spans="1:4">
      <c r="A6" s="8" t="s">
        <v>6</v>
      </c>
      <c r="B6">
        <v>29</v>
      </c>
      <c r="C6">
        <v>44</v>
      </c>
      <c r="D6" s="7">
        <f t="shared" si="0"/>
        <v>0.65909090909090906</v>
      </c>
    </row>
    <row r="7" spans="1:4">
      <c r="A7" s="8" t="s">
        <v>7</v>
      </c>
      <c r="B7">
        <v>34</v>
      </c>
      <c r="C7">
        <v>47</v>
      </c>
      <c r="D7" s="7">
        <f t="shared" si="0"/>
        <v>0.72340425531914898</v>
      </c>
    </row>
    <row r="8" spans="1:4">
      <c r="A8" s="8" t="s">
        <v>8</v>
      </c>
      <c r="B8">
        <v>41</v>
      </c>
      <c r="C8">
        <v>48</v>
      </c>
      <c r="D8" s="7">
        <f t="shared" si="0"/>
        <v>0.85416666666666663</v>
      </c>
    </row>
    <row r="9" spans="1:4">
      <c r="A9" s="8" t="s">
        <v>9</v>
      </c>
      <c r="B9">
        <v>48</v>
      </c>
      <c r="C9">
        <v>62</v>
      </c>
      <c r="D9" s="7">
        <f t="shared" si="0"/>
        <v>0.77419354838709675</v>
      </c>
    </row>
    <row r="10" spans="1:4">
      <c r="A10" s="8" t="s">
        <v>10</v>
      </c>
      <c r="B10">
        <v>28</v>
      </c>
      <c r="C10">
        <v>38</v>
      </c>
      <c r="D10" s="7">
        <f t="shared" si="0"/>
        <v>0.73684210526315785</v>
      </c>
    </row>
    <row r="11" spans="1:4">
      <c r="A11" s="8" t="s">
        <v>11</v>
      </c>
      <c r="B11">
        <v>33</v>
      </c>
      <c r="C11">
        <v>46</v>
      </c>
      <c r="D11" s="7">
        <f t="shared" si="0"/>
        <v>0.71739130434782605</v>
      </c>
    </row>
    <row r="12" spans="1:4">
      <c r="A12" s="8" t="s">
        <v>12</v>
      </c>
      <c r="B12">
        <v>75</v>
      </c>
      <c r="C12">
        <v>97</v>
      </c>
      <c r="D12" s="7">
        <f t="shared" si="0"/>
        <v>0.77319587628865982</v>
      </c>
    </row>
    <row r="13" spans="1:4">
      <c r="A13" s="8" t="s">
        <v>13</v>
      </c>
      <c r="B13">
        <v>51</v>
      </c>
      <c r="C13">
        <v>68</v>
      </c>
      <c r="D13" s="7">
        <f t="shared" si="0"/>
        <v>0.75</v>
      </c>
    </row>
    <row r="14" spans="1:4">
      <c r="A14" s="8" t="s">
        <v>14</v>
      </c>
      <c r="B14">
        <v>29</v>
      </c>
      <c r="C14">
        <v>41</v>
      </c>
      <c r="D14" s="7">
        <f t="shared" si="0"/>
        <v>0.70731707317073167</v>
      </c>
    </row>
    <row r="15" spans="1:4">
      <c r="A15" s="8" t="s">
        <v>15</v>
      </c>
      <c r="B15">
        <v>29</v>
      </c>
      <c r="C15">
        <v>48</v>
      </c>
      <c r="D15" s="7">
        <f t="shared" si="0"/>
        <v>0.60416666666666663</v>
      </c>
    </row>
    <row r="16" spans="1:4">
      <c r="A16" s="8" t="s">
        <v>16</v>
      </c>
      <c r="B16">
        <v>45</v>
      </c>
      <c r="C16">
        <v>64</v>
      </c>
      <c r="D16" s="7">
        <f t="shared" si="0"/>
        <v>0.703125</v>
      </c>
    </row>
    <row r="17" spans="1:4">
      <c r="A17" s="8" t="s">
        <v>17</v>
      </c>
      <c r="B17">
        <v>62</v>
      </c>
      <c r="C17">
        <v>83</v>
      </c>
      <c r="D17" s="7">
        <f t="shared" si="0"/>
        <v>0.74698795180722888</v>
      </c>
    </row>
    <row r="18" spans="1:4">
      <c r="A18" s="8" t="s">
        <v>18</v>
      </c>
      <c r="B18">
        <v>41</v>
      </c>
      <c r="C18">
        <v>57</v>
      </c>
      <c r="D18" s="7">
        <f t="shared" si="0"/>
        <v>0.7192982456140351</v>
      </c>
    </row>
    <row r="19" spans="1:4">
      <c r="A19" s="8" t="s">
        <v>19</v>
      </c>
      <c r="B19">
        <v>26</v>
      </c>
      <c r="C19">
        <v>35</v>
      </c>
      <c r="D19" s="7">
        <f t="shared" si="0"/>
        <v>0.74285714285714288</v>
      </c>
    </row>
    <row r="20" spans="1:4">
      <c r="A20" s="8" t="s">
        <v>20</v>
      </c>
      <c r="B20">
        <v>29</v>
      </c>
      <c r="C20">
        <v>45</v>
      </c>
      <c r="D20" s="7">
        <f t="shared" si="0"/>
        <v>0.64444444444444449</v>
      </c>
    </row>
    <row r="21" spans="1:4">
      <c r="A21" s="8" t="s">
        <v>21</v>
      </c>
      <c r="B21">
        <v>40</v>
      </c>
      <c r="C21">
        <v>48</v>
      </c>
      <c r="D21" s="7">
        <f t="shared" si="0"/>
        <v>0.83333333333333337</v>
      </c>
    </row>
    <row r="22" spans="1:4">
      <c r="A22" s="8" t="s">
        <v>22</v>
      </c>
      <c r="B22">
        <v>45</v>
      </c>
      <c r="C22">
        <v>58</v>
      </c>
      <c r="D22" s="7">
        <f t="shared" si="0"/>
        <v>0.77586206896551724</v>
      </c>
    </row>
    <row r="23" spans="1:4">
      <c r="A23" s="8" t="s">
        <v>23</v>
      </c>
      <c r="B23">
        <v>34</v>
      </c>
      <c r="C23">
        <v>54</v>
      </c>
      <c r="D23" s="7">
        <f t="shared" si="0"/>
        <v>0.62962962962962965</v>
      </c>
    </row>
    <row r="24" spans="1:4">
      <c r="A24" s="8" t="s">
        <v>24</v>
      </c>
      <c r="B24">
        <v>58</v>
      </c>
      <c r="C24">
        <v>84</v>
      </c>
      <c r="D24" s="7">
        <f t="shared" si="0"/>
        <v>0.69047619047619047</v>
      </c>
    </row>
    <row r="25" spans="1:4">
      <c r="A25" s="8" t="s">
        <v>25</v>
      </c>
      <c r="B25">
        <v>67</v>
      </c>
      <c r="C25">
        <v>92</v>
      </c>
      <c r="D25" s="7">
        <f t="shared" si="0"/>
        <v>0.72826086956521741</v>
      </c>
    </row>
    <row r="26" spans="1:4">
      <c r="A26" s="8" t="s">
        <v>26</v>
      </c>
      <c r="B26">
        <v>49</v>
      </c>
      <c r="C26">
        <v>64</v>
      </c>
      <c r="D26" s="7">
        <f t="shared" si="0"/>
        <v>0.765625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6ACF-A1A0-8E49-9187-D63E3DAF03FA}">
  <dimension ref="A1:F76"/>
  <sheetViews>
    <sheetView tabSelected="1" workbookViewId="0">
      <selection activeCell="G3" sqref="G3"/>
    </sheetView>
  </sheetViews>
  <sheetFormatPr defaultColWidth="10.6640625" defaultRowHeight="19.149999999999999"/>
  <sheetData>
    <row r="1" spans="1:6">
      <c r="A1" t="s">
        <v>48</v>
      </c>
      <c r="B1" t="s">
        <v>49</v>
      </c>
      <c r="F1" t="s">
        <v>56</v>
      </c>
    </row>
    <row r="2" spans="1:6">
      <c r="A2" s="9" t="s">
        <v>2</v>
      </c>
      <c r="B2" s="9" t="s">
        <v>50</v>
      </c>
      <c r="C2" s="9" t="s">
        <v>51</v>
      </c>
      <c r="D2" s="9" t="s">
        <v>52</v>
      </c>
      <c r="E2" s="9" t="s">
        <v>53</v>
      </c>
      <c r="F2" s="10">
        <v>19.96</v>
      </c>
    </row>
    <row r="3" spans="1:6">
      <c r="A3" s="9" t="s">
        <v>2</v>
      </c>
      <c r="B3" s="9" t="s">
        <v>50</v>
      </c>
      <c r="C3" s="9" t="s">
        <v>54</v>
      </c>
      <c r="D3" s="9" t="s">
        <v>52</v>
      </c>
      <c r="E3" s="9" t="s">
        <v>53</v>
      </c>
      <c r="F3" s="10">
        <v>7.54</v>
      </c>
    </row>
    <row r="4" spans="1:6">
      <c r="A4" s="9" t="s">
        <v>2</v>
      </c>
      <c r="B4" s="9" t="s">
        <v>50</v>
      </c>
      <c r="C4" s="9" t="s">
        <v>55</v>
      </c>
      <c r="D4" s="9" t="s">
        <v>52</v>
      </c>
      <c r="E4" s="9" t="s">
        <v>53</v>
      </c>
      <c r="F4" s="10">
        <v>17.57</v>
      </c>
    </row>
    <row r="5" spans="1:6">
      <c r="A5" s="9" t="s">
        <v>3</v>
      </c>
      <c r="B5" s="9" t="s">
        <v>50</v>
      </c>
      <c r="C5" s="9" t="s">
        <v>51</v>
      </c>
      <c r="D5" s="9" t="s">
        <v>52</v>
      </c>
      <c r="E5" s="9" t="s">
        <v>53</v>
      </c>
      <c r="F5" s="10">
        <v>15.89</v>
      </c>
    </row>
    <row r="6" spans="1:6">
      <c r="A6" s="9" t="s">
        <v>3</v>
      </c>
      <c r="B6" s="9" t="s">
        <v>50</v>
      </c>
      <c r="C6" s="9" t="s">
        <v>54</v>
      </c>
      <c r="D6" s="9" t="s">
        <v>52</v>
      </c>
      <c r="E6" s="9" t="s">
        <v>53</v>
      </c>
      <c r="F6" s="10">
        <v>5.27</v>
      </c>
    </row>
    <row r="7" spans="1:6">
      <c r="A7" s="9" t="s">
        <v>3</v>
      </c>
      <c r="B7" s="9" t="s">
        <v>50</v>
      </c>
      <c r="C7" s="9" t="s">
        <v>55</v>
      </c>
      <c r="D7" s="9" t="s">
        <v>52</v>
      </c>
      <c r="E7" s="9" t="s">
        <v>53</v>
      </c>
      <c r="F7" s="10">
        <v>16.14</v>
      </c>
    </row>
    <row r="8" spans="1:6">
      <c r="A8" s="9" t="s">
        <v>4</v>
      </c>
      <c r="B8" s="9" t="s">
        <v>50</v>
      </c>
      <c r="C8" s="9" t="s">
        <v>51</v>
      </c>
      <c r="D8" s="9" t="s">
        <v>52</v>
      </c>
      <c r="E8" s="9" t="s">
        <v>53</v>
      </c>
      <c r="F8" s="10">
        <v>21.06</v>
      </c>
    </row>
    <row r="9" spans="1:6">
      <c r="A9" s="9" t="s">
        <v>4</v>
      </c>
      <c r="B9" s="9" t="s">
        <v>50</v>
      </c>
      <c r="C9" s="9" t="s">
        <v>54</v>
      </c>
      <c r="D9" s="9" t="s">
        <v>52</v>
      </c>
      <c r="E9" s="9" t="s">
        <v>53</v>
      </c>
      <c r="F9" s="10">
        <v>5.84</v>
      </c>
    </row>
    <row r="10" spans="1:6">
      <c r="A10" s="9" t="s">
        <v>4</v>
      </c>
      <c r="B10" s="9" t="s">
        <v>50</v>
      </c>
      <c r="C10" s="9" t="s">
        <v>55</v>
      </c>
      <c r="D10" s="9" t="s">
        <v>52</v>
      </c>
      <c r="E10" s="9" t="s">
        <v>53</v>
      </c>
      <c r="F10" s="10">
        <v>21.4</v>
      </c>
    </row>
    <row r="11" spans="1:6">
      <c r="A11" s="9" t="s">
        <v>5</v>
      </c>
      <c r="B11" s="9" t="s">
        <v>50</v>
      </c>
      <c r="C11" s="9" t="s">
        <v>51</v>
      </c>
      <c r="D11" s="9" t="s">
        <v>52</v>
      </c>
      <c r="E11" s="9" t="s">
        <v>53</v>
      </c>
      <c r="F11" s="10">
        <v>19.32</v>
      </c>
    </row>
    <row r="12" spans="1:6">
      <c r="A12" s="9" t="s">
        <v>5</v>
      </c>
      <c r="B12" s="9" t="s">
        <v>50</v>
      </c>
      <c r="C12" s="9" t="s">
        <v>54</v>
      </c>
      <c r="D12" s="9" t="s">
        <v>52</v>
      </c>
      <c r="E12" s="9" t="s">
        <v>53</v>
      </c>
      <c r="F12" s="10">
        <v>5.25</v>
      </c>
    </row>
    <row r="13" spans="1:6">
      <c r="A13" s="9" t="s">
        <v>5</v>
      </c>
      <c r="B13" s="9" t="s">
        <v>50</v>
      </c>
      <c r="C13" s="9" t="s">
        <v>55</v>
      </c>
      <c r="D13" s="9" t="s">
        <v>52</v>
      </c>
      <c r="E13" s="9" t="s">
        <v>53</v>
      </c>
      <c r="F13" s="10">
        <v>17.11</v>
      </c>
    </row>
    <row r="14" spans="1:6">
      <c r="A14" s="9" t="s">
        <v>6</v>
      </c>
      <c r="B14" s="9" t="s">
        <v>50</v>
      </c>
      <c r="C14" s="9" t="s">
        <v>51</v>
      </c>
      <c r="D14" s="9" t="s">
        <v>52</v>
      </c>
      <c r="E14" s="9" t="s">
        <v>53</v>
      </c>
      <c r="F14" s="10">
        <v>18.66</v>
      </c>
    </row>
    <row r="15" spans="1:6">
      <c r="A15" s="9" t="s">
        <v>6</v>
      </c>
      <c r="B15" s="9" t="s">
        <v>50</v>
      </c>
      <c r="C15" s="9" t="s">
        <v>54</v>
      </c>
      <c r="D15" s="9" t="s">
        <v>52</v>
      </c>
      <c r="E15" s="9" t="s">
        <v>53</v>
      </c>
      <c r="F15" s="10">
        <v>4.62</v>
      </c>
    </row>
    <row r="16" spans="1:6">
      <c r="A16" s="9" t="s">
        <v>6</v>
      </c>
      <c r="B16" s="9" t="s">
        <v>50</v>
      </c>
      <c r="C16" s="9" t="s">
        <v>55</v>
      </c>
      <c r="D16" s="9" t="s">
        <v>52</v>
      </c>
      <c r="E16" s="9" t="s">
        <v>53</v>
      </c>
      <c r="F16" s="10">
        <v>16.29</v>
      </c>
    </row>
    <row r="17" spans="1:6">
      <c r="A17" s="9" t="s">
        <v>7</v>
      </c>
      <c r="B17" s="9" t="s">
        <v>50</v>
      </c>
      <c r="C17" s="9" t="s">
        <v>51</v>
      </c>
      <c r="D17" s="9" t="s">
        <v>52</v>
      </c>
      <c r="E17" s="9" t="s">
        <v>53</v>
      </c>
      <c r="F17" s="10">
        <v>18.440000000000001</v>
      </c>
    </row>
    <row r="18" spans="1:6">
      <c r="A18" s="9" t="s">
        <v>7</v>
      </c>
      <c r="B18" s="9" t="s">
        <v>50</v>
      </c>
      <c r="C18" s="9" t="s">
        <v>54</v>
      </c>
      <c r="D18" s="9" t="s">
        <v>52</v>
      </c>
      <c r="E18" s="9" t="s">
        <v>53</v>
      </c>
      <c r="F18" s="10">
        <v>4.8099999999999996</v>
      </c>
    </row>
    <row r="19" spans="1:6">
      <c r="A19" s="9" t="s">
        <v>7</v>
      </c>
      <c r="B19" s="9" t="s">
        <v>50</v>
      </c>
      <c r="C19" s="9" t="s">
        <v>55</v>
      </c>
      <c r="D19" s="9" t="s">
        <v>52</v>
      </c>
      <c r="E19" s="9" t="s">
        <v>53</v>
      </c>
      <c r="F19" s="10">
        <v>15.38</v>
      </c>
    </row>
    <row r="20" spans="1:6">
      <c r="A20" s="9" t="s">
        <v>8</v>
      </c>
      <c r="B20" s="9" t="s">
        <v>50</v>
      </c>
      <c r="C20" s="9" t="s">
        <v>51</v>
      </c>
      <c r="D20" s="9" t="s">
        <v>52</v>
      </c>
      <c r="E20" s="9" t="s">
        <v>53</v>
      </c>
      <c r="F20" s="10">
        <v>18.760000000000002</v>
      </c>
    </row>
    <row r="21" spans="1:6">
      <c r="A21" s="9" t="s">
        <v>8</v>
      </c>
      <c r="B21" s="9" t="s">
        <v>50</v>
      </c>
      <c r="C21" s="9" t="s">
        <v>54</v>
      </c>
      <c r="D21" s="9" t="s">
        <v>52</v>
      </c>
      <c r="E21" s="9" t="s">
        <v>53</v>
      </c>
      <c r="F21" s="10">
        <v>5.25</v>
      </c>
    </row>
    <row r="22" spans="1:6">
      <c r="A22" s="9" t="s">
        <v>8</v>
      </c>
      <c r="B22" s="9" t="s">
        <v>50</v>
      </c>
      <c r="C22" s="9" t="s">
        <v>55</v>
      </c>
      <c r="D22" s="9" t="s">
        <v>52</v>
      </c>
      <c r="E22" s="9" t="s">
        <v>53</v>
      </c>
      <c r="F22" s="10">
        <v>15.31</v>
      </c>
    </row>
    <row r="23" spans="1:6">
      <c r="A23" s="9" t="s">
        <v>9</v>
      </c>
      <c r="B23" s="9" t="s">
        <v>50</v>
      </c>
      <c r="C23" s="9" t="s">
        <v>51</v>
      </c>
      <c r="D23" s="9" t="s">
        <v>52</v>
      </c>
      <c r="E23" s="9" t="s">
        <v>53</v>
      </c>
      <c r="F23" s="10">
        <v>15</v>
      </c>
    </row>
    <row r="24" spans="1:6">
      <c r="A24" s="9" t="s">
        <v>9</v>
      </c>
      <c r="B24" s="9" t="s">
        <v>50</v>
      </c>
      <c r="C24" s="9" t="s">
        <v>54</v>
      </c>
      <c r="D24" s="9" t="s">
        <v>52</v>
      </c>
      <c r="E24" s="9" t="s">
        <v>53</v>
      </c>
      <c r="F24" s="10">
        <v>5.97</v>
      </c>
    </row>
    <row r="25" spans="1:6">
      <c r="A25" s="9" t="s">
        <v>9</v>
      </c>
      <c r="B25" s="9" t="s">
        <v>50</v>
      </c>
      <c r="C25" s="9" t="s">
        <v>55</v>
      </c>
      <c r="D25" s="9" t="s">
        <v>52</v>
      </c>
      <c r="E25" s="9" t="s">
        <v>53</v>
      </c>
      <c r="F25" s="10">
        <v>21.08</v>
      </c>
    </row>
    <row r="26" spans="1:6">
      <c r="A26" s="9" t="s">
        <v>10</v>
      </c>
      <c r="B26" s="9" t="s">
        <v>50</v>
      </c>
      <c r="C26" s="9" t="s">
        <v>51</v>
      </c>
      <c r="D26" s="9" t="s">
        <v>52</v>
      </c>
      <c r="E26" s="9" t="s">
        <v>53</v>
      </c>
      <c r="F26" s="10">
        <v>18.75</v>
      </c>
    </row>
    <row r="27" spans="1:6">
      <c r="A27" s="9" t="s">
        <v>10</v>
      </c>
      <c r="B27" s="9" t="s">
        <v>50</v>
      </c>
      <c r="C27" s="9" t="s">
        <v>54</v>
      </c>
      <c r="D27" s="9" t="s">
        <v>52</v>
      </c>
      <c r="E27" s="9" t="s">
        <v>53</v>
      </c>
      <c r="F27" s="10">
        <v>5.04</v>
      </c>
    </row>
    <row r="28" spans="1:6">
      <c r="A28" s="9" t="s">
        <v>10</v>
      </c>
      <c r="B28" s="9" t="s">
        <v>50</v>
      </c>
      <c r="C28" s="9" t="s">
        <v>55</v>
      </c>
      <c r="D28" s="9" t="s">
        <v>52</v>
      </c>
      <c r="E28" s="9" t="s">
        <v>53</v>
      </c>
      <c r="F28" s="10">
        <v>16.61</v>
      </c>
    </row>
    <row r="29" spans="1:6">
      <c r="A29" s="9" t="s">
        <v>11</v>
      </c>
      <c r="B29" s="9" t="s">
        <v>50</v>
      </c>
      <c r="C29" s="9" t="s">
        <v>51</v>
      </c>
      <c r="D29" s="9" t="s">
        <v>52</v>
      </c>
      <c r="E29" s="9" t="s">
        <v>53</v>
      </c>
      <c r="F29" s="10">
        <v>15.88</v>
      </c>
    </row>
    <row r="30" spans="1:6">
      <c r="A30" s="9" t="s">
        <v>11</v>
      </c>
      <c r="B30" s="9" t="s">
        <v>50</v>
      </c>
      <c r="C30" s="9" t="s">
        <v>54</v>
      </c>
      <c r="D30" s="9" t="s">
        <v>52</v>
      </c>
      <c r="E30" s="9" t="s">
        <v>53</v>
      </c>
      <c r="F30" s="10">
        <v>5.73</v>
      </c>
    </row>
    <row r="31" spans="1:6">
      <c r="A31" s="9" t="s">
        <v>11</v>
      </c>
      <c r="B31" s="9" t="s">
        <v>50</v>
      </c>
      <c r="C31" s="9" t="s">
        <v>55</v>
      </c>
      <c r="D31" s="9" t="s">
        <v>52</v>
      </c>
      <c r="E31" s="9" t="s">
        <v>53</v>
      </c>
      <c r="F31" s="10">
        <v>18.920000000000002</v>
      </c>
    </row>
    <row r="32" spans="1:6">
      <c r="A32" s="9" t="s">
        <v>12</v>
      </c>
      <c r="B32" s="9" t="s">
        <v>50</v>
      </c>
      <c r="C32" s="9" t="s">
        <v>51</v>
      </c>
      <c r="D32" s="9" t="s">
        <v>52</v>
      </c>
      <c r="E32" s="9" t="s">
        <v>53</v>
      </c>
      <c r="F32" s="10">
        <v>17.52</v>
      </c>
    </row>
    <row r="33" spans="1:6">
      <c r="A33" s="9" t="s">
        <v>12</v>
      </c>
      <c r="B33" s="9" t="s">
        <v>50</v>
      </c>
      <c r="C33" s="9" t="s">
        <v>54</v>
      </c>
      <c r="D33" s="9" t="s">
        <v>52</v>
      </c>
      <c r="E33" s="9" t="s">
        <v>53</v>
      </c>
      <c r="F33" s="10">
        <v>5.71</v>
      </c>
    </row>
    <row r="34" spans="1:6">
      <c r="A34" s="9" t="s">
        <v>12</v>
      </c>
      <c r="B34" s="9" t="s">
        <v>50</v>
      </c>
      <c r="C34" s="9" t="s">
        <v>55</v>
      </c>
      <c r="D34" s="9" t="s">
        <v>52</v>
      </c>
      <c r="E34" s="9" t="s">
        <v>53</v>
      </c>
      <c r="F34" s="10">
        <v>16.93</v>
      </c>
    </row>
    <row r="35" spans="1:6">
      <c r="A35" s="9" t="s">
        <v>13</v>
      </c>
      <c r="B35" s="9" t="s">
        <v>50</v>
      </c>
      <c r="C35" s="9" t="s">
        <v>51</v>
      </c>
      <c r="D35" s="9" t="s">
        <v>52</v>
      </c>
      <c r="E35" s="9" t="s">
        <v>53</v>
      </c>
      <c r="F35" s="10">
        <v>16.84</v>
      </c>
    </row>
    <row r="36" spans="1:6">
      <c r="A36" s="9" t="s">
        <v>13</v>
      </c>
      <c r="B36" s="9" t="s">
        <v>50</v>
      </c>
      <c r="C36" s="9" t="s">
        <v>54</v>
      </c>
      <c r="D36" s="9" t="s">
        <v>52</v>
      </c>
      <c r="E36" s="9" t="s">
        <v>53</v>
      </c>
      <c r="F36" s="10">
        <v>5.99</v>
      </c>
    </row>
    <row r="37" spans="1:6">
      <c r="A37" s="9" t="s">
        <v>13</v>
      </c>
      <c r="B37" s="9" t="s">
        <v>50</v>
      </c>
      <c r="C37" s="9" t="s">
        <v>55</v>
      </c>
      <c r="D37" s="9" t="s">
        <v>52</v>
      </c>
      <c r="E37" s="9" t="s">
        <v>53</v>
      </c>
      <c r="F37" s="10">
        <v>19.13</v>
      </c>
    </row>
    <row r="38" spans="1:6">
      <c r="A38" s="9" t="s">
        <v>14</v>
      </c>
      <c r="B38" s="9" t="s">
        <v>50</v>
      </c>
      <c r="C38" s="9" t="s">
        <v>51</v>
      </c>
      <c r="D38" s="9" t="s">
        <v>52</v>
      </c>
      <c r="E38" s="9" t="s">
        <v>53</v>
      </c>
      <c r="F38" s="10">
        <v>16.420000000000002</v>
      </c>
    </row>
    <row r="39" spans="1:6">
      <c r="A39" s="9" t="s">
        <v>14</v>
      </c>
      <c r="B39" s="9" t="s">
        <v>50</v>
      </c>
      <c r="C39" s="9" t="s">
        <v>54</v>
      </c>
      <c r="D39" s="9" t="s">
        <v>52</v>
      </c>
      <c r="E39" s="9" t="s">
        <v>53</v>
      </c>
      <c r="F39" s="10">
        <v>6.33</v>
      </c>
    </row>
    <row r="40" spans="1:6">
      <c r="A40" s="9" t="s">
        <v>14</v>
      </c>
      <c r="B40" s="9" t="s">
        <v>50</v>
      </c>
      <c r="C40" s="9" t="s">
        <v>55</v>
      </c>
      <c r="D40" s="9" t="s">
        <v>52</v>
      </c>
      <c r="E40" s="9" t="s">
        <v>53</v>
      </c>
      <c r="F40" s="10">
        <v>16.61</v>
      </c>
    </row>
    <row r="41" spans="1:6">
      <c r="A41" s="9" t="s">
        <v>15</v>
      </c>
      <c r="B41" s="9" t="s">
        <v>50</v>
      </c>
      <c r="C41" s="9" t="s">
        <v>51</v>
      </c>
      <c r="D41" s="9" t="s">
        <v>52</v>
      </c>
      <c r="E41" s="9" t="s">
        <v>53</v>
      </c>
      <c r="F41" s="10">
        <v>21.54</v>
      </c>
    </row>
    <row r="42" spans="1:6">
      <c r="A42" s="9" t="s">
        <v>15</v>
      </c>
      <c r="B42" s="9" t="s">
        <v>50</v>
      </c>
      <c r="C42" s="9" t="s">
        <v>54</v>
      </c>
      <c r="D42" s="9" t="s">
        <v>52</v>
      </c>
      <c r="E42" s="9" t="s">
        <v>53</v>
      </c>
      <c r="F42" s="10">
        <v>5.37</v>
      </c>
    </row>
    <row r="43" spans="1:6">
      <c r="A43" s="9" t="s">
        <v>15</v>
      </c>
      <c r="B43" s="9" t="s">
        <v>50</v>
      </c>
      <c r="C43" s="9" t="s">
        <v>55</v>
      </c>
      <c r="D43" s="9" t="s">
        <v>52</v>
      </c>
      <c r="E43" s="9" t="s">
        <v>53</v>
      </c>
      <c r="F43" s="10">
        <v>23.03</v>
      </c>
    </row>
    <row r="44" spans="1:6">
      <c r="A44" s="9" t="s">
        <v>16</v>
      </c>
      <c r="B44" s="9" t="s">
        <v>50</v>
      </c>
      <c r="C44" s="9" t="s">
        <v>51</v>
      </c>
      <c r="D44" s="9" t="s">
        <v>52</v>
      </c>
      <c r="E44" s="9" t="s">
        <v>53</v>
      </c>
      <c r="F44" s="10">
        <v>18.440000000000001</v>
      </c>
    </row>
    <row r="45" spans="1:6">
      <c r="A45" s="9" t="s">
        <v>16</v>
      </c>
      <c r="B45" s="9" t="s">
        <v>50</v>
      </c>
      <c r="C45" s="9" t="s">
        <v>54</v>
      </c>
      <c r="D45" s="9" t="s">
        <v>52</v>
      </c>
      <c r="E45" s="9" t="s">
        <v>53</v>
      </c>
      <c r="F45" s="10">
        <v>5.35</v>
      </c>
    </row>
    <row r="46" spans="1:6">
      <c r="A46" s="9" t="s">
        <v>16</v>
      </c>
      <c r="B46" s="9" t="s">
        <v>50</v>
      </c>
      <c r="C46" s="9" t="s">
        <v>55</v>
      </c>
      <c r="D46" s="9" t="s">
        <v>52</v>
      </c>
      <c r="E46" s="9" t="s">
        <v>53</v>
      </c>
      <c r="F46" s="10">
        <v>16.559999999999999</v>
      </c>
    </row>
    <row r="47" spans="1:6">
      <c r="A47" s="9" t="s">
        <v>17</v>
      </c>
      <c r="B47" s="9" t="s">
        <v>50</v>
      </c>
      <c r="C47" s="9" t="s">
        <v>51</v>
      </c>
      <c r="D47" s="9" t="s">
        <v>52</v>
      </c>
      <c r="E47" s="9" t="s">
        <v>53</v>
      </c>
      <c r="F47" s="10">
        <v>24.23</v>
      </c>
    </row>
    <row r="48" spans="1:6">
      <c r="A48" s="9" t="s">
        <v>17</v>
      </c>
      <c r="B48" s="9" t="s">
        <v>50</v>
      </c>
      <c r="C48" s="9" t="s">
        <v>54</v>
      </c>
      <c r="D48" s="9" t="s">
        <v>52</v>
      </c>
      <c r="E48" s="9" t="s">
        <v>53</v>
      </c>
      <c r="F48" s="10">
        <v>5.39</v>
      </c>
    </row>
    <row r="49" spans="1:6">
      <c r="A49" s="9" t="s">
        <v>17</v>
      </c>
      <c r="B49" s="9" t="s">
        <v>50</v>
      </c>
      <c r="C49" s="9" t="s">
        <v>55</v>
      </c>
      <c r="D49" s="9" t="s">
        <v>52</v>
      </c>
      <c r="E49" s="9" t="s">
        <v>53</v>
      </c>
      <c r="F49" s="10">
        <v>16.86</v>
      </c>
    </row>
    <row r="50" spans="1:6">
      <c r="A50" s="9" t="s">
        <v>18</v>
      </c>
      <c r="B50" s="9" t="s">
        <v>50</v>
      </c>
      <c r="C50" s="9" t="s">
        <v>51</v>
      </c>
      <c r="D50" s="9" t="s">
        <v>52</v>
      </c>
      <c r="E50" s="9" t="s">
        <v>53</v>
      </c>
      <c r="F50" s="10">
        <v>18.8</v>
      </c>
    </row>
    <row r="51" spans="1:6">
      <c r="A51" s="9" t="s">
        <v>18</v>
      </c>
      <c r="B51" s="9" t="s">
        <v>50</v>
      </c>
      <c r="C51" s="9" t="s">
        <v>54</v>
      </c>
      <c r="D51" s="9" t="s">
        <v>52</v>
      </c>
      <c r="E51" s="9" t="s">
        <v>53</v>
      </c>
      <c r="F51" s="10">
        <v>5.0199999999999996</v>
      </c>
    </row>
    <row r="52" spans="1:6">
      <c r="A52" s="9" t="s">
        <v>18</v>
      </c>
      <c r="B52" s="9" t="s">
        <v>50</v>
      </c>
      <c r="C52" s="9" t="s">
        <v>55</v>
      </c>
      <c r="D52" s="9" t="s">
        <v>52</v>
      </c>
      <c r="E52" s="9" t="s">
        <v>53</v>
      </c>
      <c r="F52" s="10">
        <v>17.89</v>
      </c>
    </row>
    <row r="53" spans="1:6">
      <c r="A53" s="9" t="s">
        <v>19</v>
      </c>
      <c r="B53" s="9" t="s">
        <v>50</v>
      </c>
      <c r="C53" s="9" t="s">
        <v>51</v>
      </c>
      <c r="D53" s="9" t="s">
        <v>52</v>
      </c>
      <c r="E53" s="9" t="s">
        <v>53</v>
      </c>
      <c r="F53" s="10">
        <v>20.3</v>
      </c>
    </row>
    <row r="54" spans="1:6">
      <c r="A54" s="9" t="s">
        <v>19</v>
      </c>
      <c r="B54" s="9" t="s">
        <v>50</v>
      </c>
      <c r="C54" s="9" t="s">
        <v>54</v>
      </c>
      <c r="D54" s="9" t="s">
        <v>52</v>
      </c>
      <c r="E54" s="9" t="s">
        <v>53</v>
      </c>
      <c r="F54" s="10">
        <v>5.33</v>
      </c>
    </row>
    <row r="55" spans="1:6">
      <c r="A55" s="9" t="s">
        <v>19</v>
      </c>
      <c r="B55" s="9" t="s">
        <v>50</v>
      </c>
      <c r="C55" s="9" t="s">
        <v>55</v>
      </c>
      <c r="D55" s="9" t="s">
        <v>52</v>
      </c>
      <c r="E55" s="9" t="s">
        <v>53</v>
      </c>
      <c r="F55" s="10">
        <v>16.690000000000001</v>
      </c>
    </row>
    <row r="56" spans="1:6">
      <c r="A56" s="9" t="s">
        <v>20</v>
      </c>
      <c r="B56" s="9" t="s">
        <v>50</v>
      </c>
      <c r="C56" s="9" t="s">
        <v>51</v>
      </c>
      <c r="D56" s="9" t="s">
        <v>52</v>
      </c>
      <c r="E56" s="9" t="s">
        <v>53</v>
      </c>
      <c r="F56" s="10">
        <v>17.96</v>
      </c>
    </row>
    <row r="57" spans="1:6">
      <c r="A57" s="9" t="s">
        <v>20</v>
      </c>
      <c r="B57" s="9" t="s">
        <v>50</v>
      </c>
      <c r="C57" s="9" t="s">
        <v>54</v>
      </c>
      <c r="D57" s="9" t="s">
        <v>52</v>
      </c>
      <c r="E57" s="9" t="s">
        <v>53</v>
      </c>
      <c r="F57" s="10">
        <v>4.75</v>
      </c>
    </row>
    <row r="58" spans="1:6">
      <c r="A58" s="9" t="s">
        <v>20</v>
      </c>
      <c r="B58" s="9" t="s">
        <v>50</v>
      </c>
      <c r="C58" s="9" t="s">
        <v>55</v>
      </c>
      <c r="D58" s="9" t="s">
        <v>52</v>
      </c>
      <c r="E58" s="9" t="s">
        <v>53</v>
      </c>
      <c r="F58" s="10">
        <v>12.91</v>
      </c>
    </row>
    <row r="59" spans="1:6">
      <c r="A59" s="9" t="s">
        <v>21</v>
      </c>
      <c r="B59" s="9" t="s">
        <v>50</v>
      </c>
      <c r="C59" s="9" t="s">
        <v>51</v>
      </c>
      <c r="D59" s="9" t="s">
        <v>52</v>
      </c>
      <c r="E59" s="9" t="s">
        <v>53</v>
      </c>
      <c r="F59" s="10">
        <v>17.440000000000001</v>
      </c>
    </row>
    <row r="60" spans="1:6">
      <c r="A60" s="9" t="s">
        <v>21</v>
      </c>
      <c r="B60" s="9" t="s">
        <v>50</v>
      </c>
      <c r="C60" s="9" t="s">
        <v>54</v>
      </c>
      <c r="D60" s="9" t="s">
        <v>52</v>
      </c>
      <c r="E60" s="9" t="s">
        <v>53</v>
      </c>
      <c r="F60" s="10">
        <v>6.04</v>
      </c>
    </row>
    <row r="61" spans="1:6">
      <c r="A61" s="9" t="s">
        <v>21</v>
      </c>
      <c r="B61" s="9" t="s">
        <v>50</v>
      </c>
      <c r="C61" s="9" t="s">
        <v>55</v>
      </c>
      <c r="D61" s="9" t="s">
        <v>52</v>
      </c>
      <c r="E61" s="9" t="s">
        <v>53</v>
      </c>
      <c r="F61" s="10">
        <v>19.54</v>
      </c>
    </row>
    <row r="62" spans="1:6">
      <c r="A62" s="9" t="s">
        <v>22</v>
      </c>
      <c r="B62" s="9" t="s">
        <v>50</v>
      </c>
      <c r="C62" s="9" t="s">
        <v>51</v>
      </c>
      <c r="D62" s="9" t="s">
        <v>52</v>
      </c>
      <c r="E62" s="9" t="s">
        <v>53</v>
      </c>
      <c r="F62" s="10">
        <v>20.420000000000002</v>
      </c>
    </row>
    <row r="63" spans="1:6">
      <c r="A63" s="9" t="s">
        <v>22</v>
      </c>
      <c r="B63" s="9" t="s">
        <v>50</v>
      </c>
      <c r="C63" s="9" t="s">
        <v>54</v>
      </c>
      <c r="D63" s="9" t="s">
        <v>52</v>
      </c>
      <c r="E63" s="9" t="s">
        <v>53</v>
      </c>
      <c r="F63" s="10">
        <v>5.39</v>
      </c>
    </row>
    <row r="64" spans="1:6">
      <c r="A64" s="9" t="s">
        <v>22</v>
      </c>
      <c r="B64" s="9" t="s">
        <v>50</v>
      </c>
      <c r="C64" s="9" t="s">
        <v>55</v>
      </c>
      <c r="D64" s="9" t="s">
        <v>52</v>
      </c>
      <c r="E64" s="9" t="s">
        <v>53</v>
      </c>
      <c r="F64" s="10">
        <v>19.59</v>
      </c>
    </row>
    <row r="65" spans="1:6">
      <c r="A65" s="9" t="s">
        <v>23</v>
      </c>
      <c r="B65" s="9" t="s">
        <v>50</v>
      </c>
      <c r="C65" s="9" t="s">
        <v>51</v>
      </c>
      <c r="D65" s="9" t="s">
        <v>52</v>
      </c>
      <c r="E65" s="9" t="s">
        <v>53</v>
      </c>
      <c r="F65" s="10">
        <v>20.03</v>
      </c>
    </row>
    <row r="66" spans="1:6">
      <c r="A66" s="9" t="s">
        <v>23</v>
      </c>
      <c r="B66" s="9" t="s">
        <v>50</v>
      </c>
      <c r="C66" s="9" t="s">
        <v>54</v>
      </c>
      <c r="D66" s="9" t="s">
        <v>52</v>
      </c>
      <c r="E66" s="9" t="s">
        <v>53</v>
      </c>
      <c r="F66" s="10">
        <v>6.12</v>
      </c>
    </row>
    <row r="67" spans="1:6">
      <c r="A67" s="9" t="s">
        <v>23</v>
      </c>
      <c r="B67" s="9" t="s">
        <v>50</v>
      </c>
      <c r="C67" s="9" t="s">
        <v>55</v>
      </c>
      <c r="D67" s="9" t="s">
        <v>52</v>
      </c>
      <c r="E67" s="9" t="s">
        <v>53</v>
      </c>
      <c r="F67" s="10">
        <v>19.940000000000001</v>
      </c>
    </row>
    <row r="68" spans="1:6">
      <c r="A68" s="9" t="s">
        <v>24</v>
      </c>
      <c r="B68" s="9" t="s">
        <v>50</v>
      </c>
      <c r="C68" s="9" t="s">
        <v>51</v>
      </c>
      <c r="D68" s="9" t="s">
        <v>52</v>
      </c>
      <c r="E68" s="9" t="s">
        <v>53</v>
      </c>
      <c r="F68" s="10">
        <v>20.98</v>
      </c>
    </row>
    <row r="69" spans="1:6">
      <c r="A69" s="9" t="s">
        <v>24</v>
      </c>
      <c r="B69" s="9" t="s">
        <v>50</v>
      </c>
      <c r="C69" s="9" t="s">
        <v>54</v>
      </c>
      <c r="D69" s="9" t="s">
        <v>52</v>
      </c>
      <c r="E69" s="9" t="s">
        <v>53</v>
      </c>
      <c r="F69" s="10">
        <v>5.33</v>
      </c>
    </row>
    <row r="70" spans="1:6">
      <c r="A70" s="9" t="s">
        <v>24</v>
      </c>
      <c r="B70" s="9" t="s">
        <v>50</v>
      </c>
      <c r="C70" s="9" t="s">
        <v>55</v>
      </c>
      <c r="D70" s="9" t="s">
        <v>52</v>
      </c>
      <c r="E70" s="9" t="s">
        <v>53</v>
      </c>
      <c r="F70" s="10">
        <v>18.25</v>
      </c>
    </row>
    <row r="71" spans="1:6">
      <c r="A71" s="9" t="s">
        <v>25</v>
      </c>
      <c r="B71" s="9" t="s">
        <v>50</v>
      </c>
      <c r="C71" s="9" t="s">
        <v>51</v>
      </c>
      <c r="D71" s="9" t="s">
        <v>52</v>
      </c>
      <c r="E71" s="9" t="s">
        <v>53</v>
      </c>
      <c r="F71" s="10">
        <v>19.05</v>
      </c>
    </row>
    <row r="72" spans="1:6">
      <c r="A72" s="9" t="s">
        <v>25</v>
      </c>
      <c r="B72" s="9" t="s">
        <v>50</v>
      </c>
      <c r="C72" s="9" t="s">
        <v>54</v>
      </c>
      <c r="D72" s="9" t="s">
        <v>52</v>
      </c>
      <c r="E72" s="9" t="s">
        <v>53</v>
      </c>
      <c r="F72" s="10">
        <v>5.31</v>
      </c>
    </row>
    <row r="73" spans="1:6">
      <c r="A73" s="9" t="s">
        <v>25</v>
      </c>
      <c r="B73" s="9" t="s">
        <v>50</v>
      </c>
      <c r="C73" s="9" t="s">
        <v>55</v>
      </c>
      <c r="D73" s="9" t="s">
        <v>52</v>
      </c>
      <c r="E73" s="9" t="s">
        <v>53</v>
      </c>
      <c r="F73" s="10">
        <v>20.78</v>
      </c>
    </row>
    <row r="74" spans="1:6">
      <c r="A74" s="9" t="s">
        <v>26</v>
      </c>
      <c r="B74" s="9" t="s">
        <v>50</v>
      </c>
      <c r="C74" s="9" t="s">
        <v>51</v>
      </c>
      <c r="D74" s="9" t="s">
        <v>52</v>
      </c>
      <c r="E74" s="9" t="s">
        <v>53</v>
      </c>
      <c r="F74" s="10">
        <v>23.3</v>
      </c>
    </row>
    <row r="75" spans="1:6">
      <c r="A75" s="9" t="s">
        <v>26</v>
      </c>
      <c r="B75" s="9" t="s">
        <v>50</v>
      </c>
      <c r="C75" s="9" t="s">
        <v>54</v>
      </c>
      <c r="D75" s="9" t="s">
        <v>52</v>
      </c>
      <c r="E75" s="9" t="s">
        <v>53</v>
      </c>
      <c r="F75" s="10">
        <v>4.91</v>
      </c>
    </row>
    <row r="76" spans="1:6">
      <c r="A76" s="9" t="s">
        <v>26</v>
      </c>
      <c r="B76" s="9" t="s">
        <v>50</v>
      </c>
      <c r="C76" s="9" t="s">
        <v>55</v>
      </c>
      <c r="D76" s="9" t="s">
        <v>52</v>
      </c>
      <c r="E76" s="9" t="s">
        <v>53</v>
      </c>
      <c r="F76" s="10">
        <v>17.32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청소년 인구수</vt:lpstr>
      <vt:lpstr>정신건강서비스 기관 수</vt:lpstr>
      <vt:lpstr>평균소득</vt:lpstr>
      <vt:lpstr>wee클래스</vt:lpstr>
      <vt:lpstr>교통편의성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jw1215jwj</dc:creator>
  <cp:lastModifiedBy>의진 정</cp:lastModifiedBy>
  <dcterms:created xsi:type="dcterms:W3CDTF">2025-11-28T14:16:42Z</dcterms:created>
  <dcterms:modified xsi:type="dcterms:W3CDTF">2025-11-30T15:01:26Z</dcterms:modified>
</cp:coreProperties>
</file>